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\Desktop\IOARR CURPAHUASI\7.0 DESAGREGADO DE GASTOS\"/>
    </mc:Choice>
  </mc:AlternateContent>
  <xr:revisionPtr revIDLastSave="0" documentId="13_ncr:1_{835F628C-565D-4BE9-8AF2-E495F0320088}" xr6:coauthVersionLast="45" xr6:coauthVersionMax="45" xr10:uidLastSave="{00000000-0000-0000-0000-000000000000}"/>
  <bookViews>
    <workbookView xWindow="-108" yWindow="-108" windowWidth="30936" windowHeight="16896" tabRatio="690" activeTab="8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/>
  <c r="D77" i="21" s="1"/>
  <c r="D88" i="21" s="1"/>
  <c r="F88" i="21" s="1"/>
  <c r="F90" i="21" s="1"/>
  <c r="G81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68" i="21"/>
  <c r="F70" i="21" s="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07" i="22" l="1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G26" i="21" s="1"/>
  <c r="G14" i="21" s="1"/>
  <c r="G18" i="21" s="1"/>
  <c r="G200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16" l="1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1" i="25" s="1"/>
  <c r="G19" i="11"/>
  <c r="G16" i="25" s="1"/>
  <c r="J18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G23" i="25" l="1"/>
  <c r="J21" i="25"/>
  <c r="E21" i="25" s="1"/>
  <c r="G29" i="25"/>
  <c r="E27" i="25"/>
  <c r="E26" i="25"/>
  <c r="E25" i="25"/>
  <c r="G19" i="10"/>
  <c r="B31" i="25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<sst xmlns="http://schemas.openxmlformats.org/spreadsheetml/2006/main" count="2153" uniqueCount="657">
  <si>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</si>
  <si>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</si>
  <si>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</si>
  <si>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</si>
  <si>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</si>
  <si>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</si>
  <si>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</si>
  <si>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</si>
  <si>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</si>
  <si>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</si>
  <si>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</si>
  <si>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</si>
  <si>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</si>
  <si>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</si>
  <si>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</si>
  <si>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</si>
  <si>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</si>
  <si>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</si>
  <si>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</si>
  <si>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</si>
  <si>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</si>
  <si>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</si>
  <si>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</si>
  <si>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</si>
  <si>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</si>
  <si>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</si>
  <si>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</si>
  <si>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</si>
  <si>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</si>
  <si>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</si>
  <si>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</si>
  <si>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</si>
  <si>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</si>
  <si>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</si>
  <si>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</si>
  <si>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</si>
  <si>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</si>
  <si>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</si>
  <si>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</si>
  <si>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</si>
  <si>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</si>
  <si>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</si>
  <si>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</si>
  <si>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</si>
  <si>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</si>
  <si>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</si>
  <si>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</si>
  <si>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</si>
  <si>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</si>
  <si>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</si>
  <si>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</si>
  <si>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</si>
  <si>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</si>
  <si>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</si>
  <si>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</si>
  <si>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</si>
  <si>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</si>
  <si>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</si>
  <si>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</si>
  <si>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</si>
  <si>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</si>
  <si>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</si>
  <si>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</si>
  <si>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</si>
  <si>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</si>
  <si>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</si>
  <si>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</si>
  <si>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</si>
  <si>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</si>
  <si>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</si>
  <si>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</si>
  <si>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</si>
  <si>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</si>
  <si>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</si>
  <si>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</si>
  <si>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</si>
  <si>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</si>
  <si>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</si>
  <si>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</si>
  <si>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</si>
  <si>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</si>
  <si>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</si>
  <si>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</si>
  <si>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</si>
  <si>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</si>
  <si>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</si>
  <si>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</si>
  <si>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</si>
  <si>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</si>
  <si>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</si>
  <si>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</si>
  <si>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</si>
  <si>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</si>
  <si>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</si>
  <si>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</si>
  <si>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</si>
  <si>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</si>
  <si>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</si>
  <si>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</si>
  <si>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</si>
  <si>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</si>
  <si>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</si>
  <si>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</si>
  <si>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</si>
  <si>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</si>
  <si>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</si>
  <si>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</si>
  <si>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</si>
  <si>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</si>
  <si>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</si>
  <si>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</si>
  <si>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</si>
  <si>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</si>
  <si>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</si>
  <si>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</si>
  <si>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</si>
  <si>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</si>
  <si>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</si>
  <si>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</si>
  <si>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</si>
  <si>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</si>
  <si>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</si>
  <si>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</si>
  <si>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</si>
  <si>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</si>
  <si>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</si>
  <si>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</si>
  <si>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</si>
  <si>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</si>
  <si>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</si>
  <si>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</si>
  <si>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</si>
  <si>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</si>
  <si>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</si>
  <si>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</si>
  <si>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</si>
  <si>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</si>
  <si>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</si>
  <si>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</si>
  <si>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</si>
  <si>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</si>
  <si>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</si>
  <si>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</si>
  <si>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</si>
  <si>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</si>
  <si>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</si>
  <si>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</si>
  <si>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</si>
  <si>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</si>
  <si>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</si>
  <si>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</si>
  <si>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</si>
  <si>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</si>
  <si>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</si>
  <si>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</si>
  <si>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</si>
  <si>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</si>
  <si>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</si>
  <si>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</si>
  <si>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</si>
  <si>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</si>
  <si>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</si>
  <si>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</si>
  <si>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</si>
  <si>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</si>
  <si>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</si>
  <si>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</si>
  <si>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</si>
  <si>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</si>
  <si>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</si>
  <si>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</si>
  <si>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</si>
  <si>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</si>
  <si>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</si>
  <si>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</si>
  <si>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</si>
  <si>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</si>
  <si>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</si>
  <si>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</si>
  <si>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</si>
  <si>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</si>
  <si>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</si>
  <si>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</si>
  <si>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</si>
  <si>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</si>
  <si>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</si>
  <si>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</si>
  <si>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</si>
  <si>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</si>
  <si>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</si>
  <si>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</si>
  <si>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</si>
  <si>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</si>
  <si>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</si>
  <si>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</si>
  <si>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</si>
  <si>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</si>
  <si>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</si>
  <si>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</si>
  <si>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</si>
  <si>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</si>
  <si>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</si>
  <si>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</si>
  <si>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</si>
  <si>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</si>
  <si>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</si>
  <si>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</si>
  <si>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</si>
  <si>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</si>
  <si>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</si>
  <si>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</si>
  <si>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</si>
  <si>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</si>
  <si>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</si>
  <si>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</si>
  <si>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</si>
  <si>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</si>
  <si>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</si>
  <si>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</si>
  <si>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</si>
  <si>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</si>
  <si>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</si>
  <si>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</si>
  <si>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</si>
  <si>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</si>
  <si>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</si>
  <si>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</si>
  <si>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</si>
  <si>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</si>
  <si>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</si>
  <si>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</si>
  <si>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</si>
  <si>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</si>
  <si>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</si>
  <si>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</si>
  <si>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</si>
  <si>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</si>
  <si>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</si>
  <si>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</si>
  <si>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</si>
  <si>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</si>
  <si>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</si>
  <si>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</si>
  <si>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</si>
  <si>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</si>
  <si>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</si>
  <si>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</si>
  <si>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</si>
  <si>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</si>
  <si>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</si>
  <si>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</si>
  <si>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</si>
  <si>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</si>
  <si>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</si>
  <si>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</si>
  <si>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</si>
  <si>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</si>
  <si>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</si>
  <si>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</si>
  <si>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</si>
  <si>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</si>
  <si>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</si>
  <si>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</si>
  <si>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</si>
  <si>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</si>
  <si>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</si>
  <si>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</si>
  <si>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</si>
  <si>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</si>
  <si>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</si>
  <si>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</si>
  <si>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</si>
  <si>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</si>
  <si>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</si>
  <si>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</si>
  <si>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</si>
  <si>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</si>
  <si>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</si>
  <si>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</si>
  <si>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</si>
  <si>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</si>
  <si>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</si>
  <si>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</si>
  <si>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</si>
  <si>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</si>
  <si>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</si>
  <si>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</si>
  <si>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</si>
  <si>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</si>
  <si>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</si>
  <si>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</si>
  <si>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</si>
  <si>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</si>
  <si>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</si>
  <si>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</si>
  <si>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</si>
  <si>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</si>
  <si>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</si>
  <si>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</si>
  <si>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</si>
  <si>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</si>
  <si>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</si>
  <si>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</si>
  <si>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</si>
  <si>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</si>
  <si>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</si>
  <si>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</si>
  <si>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</si>
  <si>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</si>
  <si>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</si>
  <si>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</si>
  <si>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</si>
  <si>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</si>
  <si>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</si>
  <si>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</si>
  <si>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</si>
  <si>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</si>
  <si>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</si>
  <si>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</si>
  <si>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</si>
  <si>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</si>
  <si>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</si>
  <si>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</si>
  <si>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</si>
  <si>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</si>
  <si>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</si>
  <si>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</si>
  <si>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</si>
  <si>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</si>
  <si>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</si>
  <si>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</si>
  <si>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</si>
  <si>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</si>
  <si>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</si>
  <si>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</si>
  <si>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</si>
  <si>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</si>
  <si>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</si>
  <si>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</si>
  <si>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</si>
  <si>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</si>
  <si>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</si>
  <si>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</si>
  <si>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</si>
  <si>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</si>
  <si>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</si>
  <si>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</si>
  <si>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</si>
  <si>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</si>
  <si>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</si>
  <si>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</si>
  <si>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</si>
  <si>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</si>
  <si>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</si>
  <si>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</si>
  <si>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</si>
  <si>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</si>
  <si>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</si>
  <si>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</si>
  <si>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</si>
  <si>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</si>
  <si>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</si>
  <si>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</si>
  <si>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</si>
  <si>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</si>
  <si>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</si>
  <si>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</si>
  <si>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</si>
  <si>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</si>
  <si>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</si>
  <si>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</si>
  <si>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</si>
  <si>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</si>
  <si>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</si>
  <si>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</si>
  <si>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</si>
  <si>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</si>
  <si>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</si>
  <si>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</si>
  <si>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</si>
  <si>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</si>
  <si>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</si>
  <si>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</si>
  <si>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</si>
  <si>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</si>
  <si>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</si>
  <si>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</si>
  <si>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</si>
  <si>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</si>
  <si>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</si>
  <si>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</si>
  <si>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</si>
  <si>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</si>
  <si>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</si>
  <si>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</si>
  <si>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</si>
  <si>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</si>
  <si>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</si>
  <si>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</si>
  <si>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</si>
  <si>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</si>
  <si>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</si>
  <si>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</si>
  <si>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</si>
  <si>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</si>
  <si>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</si>
  <si>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</si>
  <si>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</si>
  <si>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</si>
  <si>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</si>
  <si>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</si>
  <si>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</si>
  <si>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</si>
  <si>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</si>
  <si>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</si>
  <si>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</si>
  <si>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</si>
  <si>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</si>
  <si>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</si>
  <si>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</si>
  <si>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</si>
  <si>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</si>
  <si>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</si>
  <si>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</si>
  <si>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</si>
  <si>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</si>
  <si>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</si>
  <si>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</si>
  <si>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</si>
  <si>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</si>
  <si>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</si>
  <si>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</si>
  <si>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</si>
  <si>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</si>
  <si>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</si>
  <si>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</si>
  <si>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</si>
  <si>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</si>
  <si>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</si>
  <si>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</si>
  <si>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</si>
  <si>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</si>
  <si>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</si>
  <si>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</si>
  <si>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</si>
  <si>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</si>
  <si>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</si>
  <si>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</si>
  <si>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</si>
  <si>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</si>
  <si>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</si>
  <si>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</si>
  <si>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</si>
  <si>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</si>
  <si>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</si>
  <si>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</si>
  <si>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</si>
  <si>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</si>
  <si>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</si>
  <si>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</si>
  <si>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</si>
  <si>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</si>
  <si>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</si>
  <si>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</si>
  <si>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</si>
  <si>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</si>
  <si>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</si>
  <si>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</si>
  <si>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</si>
  <si>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</si>
  <si>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</si>
  <si>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</si>
  <si>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</si>
  <si>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</si>
  <si>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</si>
  <si>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</si>
  <si>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</si>
  <si>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</si>
  <si>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</si>
  <si>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</si>
  <si>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</si>
  <si>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</si>
  <si>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</si>
  <si>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</si>
  <si>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</si>
  <si>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</si>
  <si>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</si>
  <si>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</si>
  <si>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</si>
  <si>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</si>
  <si>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</si>
  <si>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</si>
  <si>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</si>
  <si>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</si>
  <si>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</si>
  <si>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</si>
  <si>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</si>
  <si>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</si>
  <si>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</si>
  <si>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</si>
  <si>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</si>
  <si>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</si>
  <si>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</si>
  <si>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</si>
  <si>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</si>
  <si>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</si>
  <si>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</si>
  <si>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</si>
  <si>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</si>
  <si>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</si>
  <si>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</si>
  <si>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</si>
  <si>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</si>
  <si>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</si>
  <si>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</si>
  <si>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</si>
  <si>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</si>
  <si>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</si>
  <si>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</si>
  <si>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</si>
  <si>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</si>
  <si>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</si>
  <si>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</si>
  <si>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</si>
  <si>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</si>
  <si>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</si>
  <si>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</si>
  <si>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</si>
  <si>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</si>
  <si>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</si>
  <si>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</si>
  <si>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</si>
  <si>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</si>
  <si>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</si>
  <si>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</si>
  <si>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</si>
  <si>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</si>
  <si>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</si>
  <si>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</si>
  <si>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</si>
  <si>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</si>
  <si>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</si>
  <si>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</si>
  <si>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</si>
  <si>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</si>
  <si>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</si>
  <si>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</si>
  <si>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</si>
  <si>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</si>
  <si>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</si>
  <si>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</si>
  <si>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</si>
  <si>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</si>
  <si>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</si>
  <si>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</si>
  <si>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</si>
  <si>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</si>
  <si>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</si>
  <si>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</si>
  <si>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</si>
  <si>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</si>
  <si>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</si>
  <si>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</si>
  <si>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</si>
  <si>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</si>
  <si>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</si>
  <si>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</si>
  <si>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</si>
  <si>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</si>
  <si>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</si>
  <si>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</si>
  <si>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</si>
  <si>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</si>
  <si>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</si>
  <si>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</si>
  <si>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</si>
  <si>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</si>
  <si>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</si>
  <si>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</si>
  <si>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</si>
  <si>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</si>
  <si>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</si>
  <si>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</si>
  <si>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</si>
  <si>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</si>
  <si>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</si>
  <si>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</si>
  <si>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</si>
  <si>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</si>
  <si>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</si>
  <si>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</si>
  <si>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</si>
  <si>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</si>
  <si>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</si>
  <si>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</si>
  <si>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</si>
  <si>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</si>
  <si>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</si>
  <si>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</si>
  <si>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</si>
  <si>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</si>
  <si>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</si>
  <si>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</si>
  <si>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</si>
  <si>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</si>
  <si>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</si>
  <si>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</si>
  <si>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</si>
  <si>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</si>
  <si>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</si>
  <si>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</si>
  <si>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</si>
  <si>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</si>
  <si>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</si>
  <si>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</si>
  <si>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</si>
  <si>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</si>
  <si>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</si>
  <si>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</si>
  <si>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</si>
  <si>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</si>
  <si>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</si>
  <si>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</si>
  <si>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</si>
  <si>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</si>
  <si>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</si>
  <si>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</si>
  <si>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</si>
  <si>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</si>
  <si>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</si>
  <si>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</si>
  <si>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</si>
  <si>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</si>
  <si>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</si>
  <si>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</si>
  <si>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</si>
  <si>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</si>
  <si>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</si>
  <si>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</si>
  <si>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</si>
  <si>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</si>
  <si>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</si>
  <si>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</si>
  <si>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</si>
  <si>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</si>
  <si>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</si>
  <si>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</si>
  <si>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</si>
  <si>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</si>
  <si>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</si>
  <si>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</si>
  <si>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</si>
  <si>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PROYECTO: “OPTIMIZACION MEDIANTE COBERTURA DE LA LOSA DEPORTIVA MULTIUSO DE LA INSTITUCION ADUCATIVA  PRIMARIA N° 54394  "SEÑOR DE LOS MILAGROS"  DISTRITO - CURPAHUASI, PROVINCIA - GRAU, DEPARTAMENTO – APURIMAC"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</si>
  <si>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CURPAHUASI</t>
    </r>
  </si>
  <si>
    <t>OPTIMIZACION MEDIANTE COBERTURA DE LA LOSA DEPORTIVA MULTIUSO DE LA INSTITUCION ADUCATIVA  PRIMARIA N° 54394  "SEÑOR DE LOS MILAGROS"  DISTRITO - CURPAHUASI, PROVINCIA - GRAU, DEPARTAMENTO – APURIMAC</t>
  </si>
  <si>
    <t>EDUCACIOJN PRIMARIA</t>
  </si>
  <si>
    <t>:EDUCACIOJN PRIMARIA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</si>
</sst>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1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1" fontId="56" fillId="11" borderId="40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Border="1"/>
    <xf numFmtId="165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3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1"/>
  <sheetViews>
    <sheetView view="pageBreakPreview" topLeftCell="B1" zoomScale="98" zoomScaleNormal="100" zoomScaleSheetLayoutView="98" workbookViewId="0">
      <selection activeCell="B4" sqref="B4:G4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653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205881.95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f>G9</f>
        <v>205881.95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205881.95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0.30609999999999998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268899.73333333334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0.30608697524641343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268899.73333333334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8" thickBot="1">
      <c r="B21" s="366"/>
      <c r="C21" s="367"/>
      <c r="D21" s="399" t="s">
        <v>380</v>
      </c>
      <c r="E21" s="400">
        <f>ROUND(J21,4)</f>
        <v>9.2799999999999994E-2</v>
      </c>
      <c r="F21" s="367"/>
      <c r="G21" s="418">
        <f>Supervision!G158</f>
        <v>24961.5</v>
      </c>
      <c r="H21" s="362"/>
      <c r="I21" s="363"/>
      <c r="J21" s="435">
        <f>G21/G19</f>
        <v>9.2828280975114391E-2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6">
      <c r="B23" s="366"/>
      <c r="C23" s="413"/>
      <c r="D23" s="419" t="s">
        <v>650</v>
      </c>
      <c r="E23" s="419"/>
      <c r="F23" s="420"/>
      <c r="G23" s="421">
        <f>G19+G21+0.005</f>
        <v>293861.23833333334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3.402966671179946E-2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5.2623680781126947E-2</v>
      </c>
      <c r="F26" s="367"/>
      <c r="G26" s="402">
        <f>Gestión!G19</f>
        <v>15464.06</v>
      </c>
      <c r="H26" s="362"/>
      <c r="I26" s="363"/>
      <c r="J26" s="405"/>
    </row>
    <row r="27" spans="2:10" ht="13.8" thickBot="1">
      <c r="B27" s="366"/>
      <c r="C27" s="367"/>
      <c r="D27" s="399" t="s">
        <v>138</v>
      </c>
      <c r="E27" s="400">
        <f>G27/G23</f>
        <v>5.8839845969704645E-2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7.399999999999999">
      <c r="B29" s="366"/>
      <c r="C29" s="413"/>
      <c r="D29" s="419" t="s">
        <v>381</v>
      </c>
      <c r="E29" s="419"/>
      <c r="F29" s="420"/>
      <c r="G29" s="422">
        <f>G25+G27+G26+G23</f>
        <v>336616.04833333334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TREINTA Y SEIS MIL SEISCIENTOS DIECISEIS CON 05/100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0" t="s">
        <v>70</v>
      </c>
      <c r="B3" s="470"/>
      <c r="C3" s="470"/>
      <c r="D3" s="470"/>
      <c r="E3" s="470"/>
      <c r="F3" s="470"/>
      <c r="G3" s="470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9" t="s">
        <v>37</v>
      </c>
      <c r="D15" s="473"/>
      <c r="E15" s="473"/>
      <c r="F15" s="474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2" t="s">
        <v>73</v>
      </c>
      <c r="C20" s="473"/>
      <c r="D20" s="473"/>
      <c r="E20" s="473"/>
      <c r="F20" s="474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71"/>
      <c r="C26" s="471"/>
      <c r="D26" s="471"/>
      <c r="E26" s="471"/>
      <c r="F26" s="471"/>
      <c r="G26" s="471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5" t="s">
        <v>3</v>
      </c>
      <c r="C140" s="476"/>
      <c r="D140" s="476"/>
      <c r="E140" s="477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5" t="s">
        <v>3</v>
      </c>
      <c r="C152" s="476"/>
      <c r="D152" s="476"/>
      <c r="E152" s="477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5" t="s">
        <v>3</v>
      </c>
      <c r="C434" s="476"/>
      <c r="D434" s="476"/>
      <c r="E434" s="477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5" t="s">
        <v>3</v>
      </c>
      <c r="C459" s="476"/>
      <c r="D459" s="476"/>
      <c r="E459" s="477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5" t="s">
        <v>3</v>
      </c>
      <c r="C467" s="476"/>
      <c r="D467" s="476"/>
      <c r="E467" s="477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80" t="s">
        <v>73</v>
      </c>
      <c r="B471" s="480"/>
      <c r="C471" s="480"/>
      <c r="D471" s="480"/>
      <c r="E471" s="480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80"/>
      <c r="C475" s="481"/>
      <c r="D475" s="481"/>
      <c r="E475" s="481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80"/>
      <c r="B479" s="480"/>
      <c r="C479" s="480"/>
      <c r="D479" s="480"/>
      <c r="E479" s="480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8"/>
      <c r="B486" s="478"/>
      <c r="C486" s="478"/>
      <c r="D486" s="478"/>
      <c r="E486" s="478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topLeftCell="A16" zoomScale="90" zoomScaleNormal="85" zoomScaleSheetLayoutView="90" zoomScalePageLayoutView="75" workbookViewId="0">
      <selection activeCell="F150" sqref="F150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92" t="s">
        <v>68</v>
      </c>
      <c r="B3" s="492"/>
      <c r="C3" s="492"/>
      <c r="D3" s="492"/>
      <c r="E3" s="492"/>
      <c r="F3" s="492"/>
      <c r="G3" s="492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437" t="s">
        <v>655</v>
      </c>
      <c r="D9" s="25"/>
      <c r="E9" s="25"/>
      <c r="F9" s="25"/>
      <c r="G9" s="25"/>
    </row>
    <row r="10" spans="1:7" ht="18.75" customHeight="1">
      <c r="B10" s="29" t="s">
        <v>111</v>
      </c>
      <c r="C10" s="493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5" t="s">
        <v>41</v>
      </c>
      <c r="C19" s="496"/>
      <c r="D19" s="496"/>
      <c r="E19" s="496"/>
      <c r="F19" s="496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90" t="s">
        <v>42</v>
      </c>
      <c r="B24" s="491"/>
      <c r="C24" s="491"/>
      <c r="D24" s="491"/>
      <c r="E24" s="491"/>
      <c r="F24" s="491"/>
      <c r="G24" s="491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90" t="s">
        <v>43</v>
      </c>
      <c r="B26" s="490"/>
      <c r="C26" s="490"/>
      <c r="D26" s="490"/>
      <c r="E26" s="490"/>
      <c r="F26" s="490"/>
      <c r="G26" s="490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7" t="s">
        <v>3</v>
      </c>
      <c r="C46" s="497"/>
      <c r="D46" s="497"/>
      <c r="E46" s="497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4" t="s">
        <v>3</v>
      </c>
      <c r="C66" s="485"/>
      <c r="D66" s="485"/>
      <c r="E66" s="486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7" t="s">
        <v>3</v>
      </c>
      <c r="C82" s="488"/>
      <c r="D82" s="488"/>
      <c r="E82" s="489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7" t="s">
        <v>3</v>
      </c>
      <c r="C101" s="488"/>
      <c r="D101" s="488"/>
      <c r="E101" s="489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7" t="s">
        <v>3</v>
      </c>
      <c r="C117" s="488"/>
      <c r="D117" s="488"/>
      <c r="E117" s="489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7" t="s">
        <v>3</v>
      </c>
      <c r="C135" s="488"/>
      <c r="D135" s="488"/>
      <c r="E135" s="489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3" t="s">
        <v>3</v>
      </c>
      <c r="C146" s="483"/>
      <c r="D146" s="483"/>
      <c r="E146" s="483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3" t="s">
        <v>3</v>
      </c>
      <c r="C184" s="483"/>
      <c r="D184" s="483"/>
      <c r="E184" s="483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3" t="s">
        <v>3</v>
      </c>
      <c r="C194" s="483"/>
      <c r="D194" s="483"/>
      <c r="E194" s="483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3" t="s">
        <v>3</v>
      </c>
      <c r="C201" s="483"/>
      <c r="D201" s="483"/>
      <c r="E201" s="483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2" t="s">
        <v>41</v>
      </c>
      <c r="B204" s="482"/>
      <c r="C204" s="482"/>
      <c r="D204" s="482"/>
      <c r="E204" s="482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6" max="6" man="1"/>
    <brk id="146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8" t="s">
        <v>280</v>
      </c>
      <c r="B1" s="498"/>
      <c r="C1" s="498"/>
      <c r="D1" s="498"/>
      <c r="E1" s="498"/>
      <c r="F1" s="498"/>
      <c r="G1" s="498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3.8">
      <c r="A10" s="70"/>
      <c r="B10" s="29"/>
      <c r="C10" s="499"/>
      <c r="D10" s="499"/>
      <c r="E10" s="499"/>
      <c r="F10" s="499"/>
      <c r="G10" s="499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5" t="s">
        <v>282</v>
      </c>
      <c r="C19" s="496"/>
      <c r="D19" s="496"/>
      <c r="E19" s="496"/>
      <c r="F19" s="496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90" t="s">
        <v>42</v>
      </c>
      <c r="B23" s="491"/>
      <c r="C23" s="491"/>
      <c r="D23" s="491"/>
      <c r="E23" s="491"/>
      <c r="F23" s="491"/>
      <c r="G23" s="491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7" t="s">
        <v>3</v>
      </c>
      <c r="C38" s="488"/>
      <c r="D38" s="488"/>
      <c r="E38" s="489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501" t="s">
        <v>281</v>
      </c>
      <c r="B41" s="501"/>
      <c r="C41" s="501"/>
      <c r="D41" s="501"/>
      <c r="E41" s="501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7" t="s">
        <v>3</v>
      </c>
      <c r="C56" s="497"/>
      <c r="D56" s="497"/>
      <c r="E56" s="497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2" t="s">
        <v>3</v>
      </c>
      <c r="C68" s="502"/>
      <c r="D68" s="502"/>
      <c r="E68" s="502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3" t="s">
        <v>3</v>
      </c>
      <c r="C78" s="483"/>
      <c r="D78" s="483"/>
      <c r="E78" s="483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500" t="s">
        <v>3</v>
      </c>
      <c r="C89" s="500"/>
      <c r="D89" s="500"/>
      <c r="E89" s="500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500" t="s">
        <v>3</v>
      </c>
      <c r="C98" s="500"/>
      <c r="D98" s="500"/>
      <c r="E98" s="500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7" t="s">
        <v>3</v>
      </c>
      <c r="C109" s="497"/>
      <c r="D109" s="497"/>
      <c r="E109" s="497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3" t="s">
        <v>3</v>
      </c>
      <c r="C118" s="483"/>
      <c r="D118" s="483"/>
      <c r="E118" s="483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3" t="s">
        <v>3</v>
      </c>
      <c r="C127" s="483"/>
      <c r="D127" s="483"/>
      <c r="E127" s="483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3" t="s">
        <v>3</v>
      </c>
      <c r="C154" s="483"/>
      <c r="D154" s="483"/>
      <c r="E154" s="483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7" t="s">
        <v>3</v>
      </c>
      <c r="C162" s="488"/>
      <c r="D162" s="488"/>
      <c r="E162" s="489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7" t="s">
        <v>3</v>
      </c>
      <c r="C175" s="488"/>
      <c r="D175" s="488"/>
      <c r="E175" s="489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501" t="s">
        <v>284</v>
      </c>
      <c r="B178" s="501"/>
      <c r="C178" s="501"/>
      <c r="D178" s="501"/>
      <c r="E178" s="501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6" sqref="C16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655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18" customHeight="1">
      <c r="B11" s="29"/>
      <c r="C11" s="499"/>
      <c r="D11" s="499"/>
      <c r="E11" s="499"/>
      <c r="F11" s="499"/>
      <c r="G11" s="49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5" t="s">
        <v>76</v>
      </c>
      <c r="C18" s="496"/>
      <c r="D18" s="496"/>
      <c r="E18" s="496"/>
      <c r="F18" s="496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7" t="s">
        <v>3</v>
      </c>
      <c r="C40" s="497"/>
      <c r="D40" s="497"/>
      <c r="E40" s="497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2" t="s">
        <v>3</v>
      </c>
      <c r="C53" s="502"/>
      <c r="D53" s="502"/>
      <c r="E53" s="502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3" t="s">
        <v>3</v>
      </c>
      <c r="C63" s="483"/>
      <c r="D63" s="483"/>
      <c r="E63" s="483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3" t="s">
        <v>3</v>
      </c>
      <c r="C106" s="483"/>
      <c r="D106" s="483"/>
      <c r="E106" s="483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3" t="s">
        <v>3</v>
      </c>
      <c r="C114" s="483"/>
      <c r="D114" s="483"/>
      <c r="E114" s="483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3" t="s">
        <v>3</v>
      </c>
      <c r="C138" s="483"/>
      <c r="D138" s="483"/>
      <c r="E138" s="483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3" t="s">
        <v>3</v>
      </c>
      <c r="C145" s="483"/>
      <c r="D145" s="483"/>
      <c r="E145" s="483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7" t="s">
        <v>3</v>
      </c>
      <c r="C156" s="488"/>
      <c r="D156" s="488"/>
      <c r="E156" s="489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501" t="s">
        <v>76</v>
      </c>
      <c r="B158" s="501"/>
      <c r="C158" s="501"/>
      <c r="D158" s="501"/>
      <c r="E158" s="501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zoomScale="82" zoomScaleNormal="100" zoomScaleSheetLayoutView="82" workbookViewId="0">
      <selection activeCell="A29" sqref="A29:G29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656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24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157</v>
      </c>
      <c r="C19" s="496"/>
      <c r="D19" s="496"/>
      <c r="E19" s="496"/>
      <c r="F19" s="496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154</v>
      </c>
      <c r="B29" s="490"/>
      <c r="C29" s="490"/>
      <c r="D29" s="490"/>
      <c r="E29" s="490"/>
      <c r="F29" s="490"/>
      <c r="G29" s="490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157</v>
      </c>
      <c r="B154" s="501"/>
      <c r="C154" s="501"/>
      <c r="D154" s="501"/>
      <c r="E154" s="501"/>
      <c r="F154" s="87" t="s">
        <v>0</v>
      </c>
      <c r="G154" s="164">
        <f>+G19</f>
        <v>17290.75</v>
      </c>
      <c r="I154" s="63">
        <f>RESUMEN!G29</f>
        <v>336616.04833333334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2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8" t="s">
        <v>169</v>
      </c>
      <c r="B1" s="498"/>
      <c r="C1" s="498"/>
      <c r="D1" s="498"/>
      <c r="E1" s="498"/>
      <c r="F1" s="498"/>
      <c r="G1" s="498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8" customHeight="1">
      <c r="B10" s="29"/>
      <c r="C10" s="499"/>
      <c r="D10" s="499"/>
      <c r="E10" s="499"/>
      <c r="F10" s="499"/>
      <c r="G10" s="499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5" t="s">
        <v>263</v>
      </c>
      <c r="C18" s="496"/>
      <c r="D18" s="496"/>
      <c r="E18" s="496"/>
      <c r="F18" s="496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90" t="s">
        <v>42</v>
      </c>
      <c r="B22" s="491"/>
      <c r="C22" s="491"/>
      <c r="D22" s="491"/>
      <c r="E22" s="491"/>
      <c r="F22" s="491"/>
      <c r="G22" s="491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90" t="s">
        <v>261</v>
      </c>
      <c r="B24" s="490"/>
      <c r="C24" s="490"/>
      <c r="D24" s="490"/>
      <c r="E24" s="490"/>
      <c r="F24" s="490"/>
      <c r="G24" s="490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7" t="s">
        <v>3</v>
      </c>
      <c r="C37" s="497"/>
      <c r="D37" s="497"/>
      <c r="E37" s="497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2" t="s">
        <v>3</v>
      </c>
      <c r="C49" s="502"/>
      <c r="D49" s="502"/>
      <c r="E49" s="502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3" t="s">
        <v>3</v>
      </c>
      <c r="C59" s="483"/>
      <c r="D59" s="483"/>
      <c r="E59" s="483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7" t="s">
        <v>3</v>
      </c>
      <c r="C90" s="497"/>
      <c r="D90" s="497"/>
      <c r="E90" s="497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3" t="s">
        <v>3</v>
      </c>
      <c r="C176" s="483"/>
      <c r="D176" s="483"/>
      <c r="E176" s="483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3" t="s">
        <v>3</v>
      </c>
      <c r="C186" s="483"/>
      <c r="D186" s="483"/>
      <c r="E186" s="483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7" t="s">
        <v>3</v>
      </c>
      <c r="C197" s="488"/>
      <c r="D197" s="488"/>
      <c r="E197" s="489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501" t="s">
        <v>262</v>
      </c>
      <c r="B200" s="501"/>
      <c r="C200" s="501"/>
      <c r="D200" s="501"/>
      <c r="E200" s="501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tabSelected="1" view="pageBreakPreview" topLeftCell="A13" zoomScale="106" zoomScaleNormal="100" zoomScaleSheetLayoutView="106" workbookViewId="0">
      <selection activeCell="C15" sqref="C15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656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22.8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589</v>
      </c>
      <c r="C19" s="496"/>
      <c r="D19" s="496"/>
      <c r="E19" s="496"/>
      <c r="F19" s="496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588</v>
      </c>
      <c r="B29" s="490"/>
      <c r="C29" s="490"/>
      <c r="D29" s="490"/>
      <c r="E29" s="490"/>
      <c r="F29" s="490"/>
      <c r="G29" s="490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589</v>
      </c>
      <c r="B154" s="501"/>
      <c r="C154" s="501"/>
      <c r="D154" s="501"/>
      <c r="E154" s="501"/>
      <c r="F154" s="87" t="s">
        <v>0</v>
      </c>
      <c r="G154" s="164">
        <f>+G19</f>
        <v>15464.06</v>
      </c>
      <c r="I154" s="63">
        <f>RESUMEN!G29</f>
        <v>336616.04833333334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</cp:lastModifiedBy>
  <cp:lastPrinted>2020-05-20T17:16:01Z</cp:lastPrinted>
  <dcterms:created xsi:type="dcterms:W3CDTF">2003-01-21T17:07:22Z</dcterms:created>
  <dcterms:modified xsi:type="dcterms:W3CDTF">2020-05-20T17:16:03Z</dcterms:modified>
</cp:coreProperties>
</file>