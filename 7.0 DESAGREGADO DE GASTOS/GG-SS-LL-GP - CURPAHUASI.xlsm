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4-CURPAHUASI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25" l="1"/>
  <c r="G17" i="25" s="1"/>
  <c r="G19" i="25" s="1"/>
  <c r="G23" i="25" s="1"/>
  <c r="E25" i="25" s="1"/>
  <c r="E16" i="25"/>
  <c r="G16" i="25"/>
  <c r="E21" i="25"/>
  <c r="G21" i="25"/>
  <c r="G26" i="25"/>
  <c r="G27" i="25"/>
  <c r="E26" i="25" l="1"/>
  <c r="E27" i="25"/>
  <c r="G29" i="25"/>
  <c r="D445" i="13"/>
  <c r="B31" i="25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G18" i="12" l="1"/>
  <c r="G158" i="12" s="1"/>
  <c r="G19" i="11"/>
  <c r="J18" i="25" s="1"/>
  <c r="D21" i="10"/>
  <c r="D22" i="10" s="1"/>
  <c r="G16" i="10"/>
  <c r="K19" i="11" l="1"/>
  <c r="K22" i="11" s="1"/>
  <c r="K25" i="11" s="1"/>
  <c r="G204" i="11"/>
  <c r="K16" i="10"/>
  <c r="J21" i="25" l="1"/>
  <c r="G19" i="10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<sst xmlns="http://schemas.openxmlformats.org/spreadsheetml/2006/main" count="2153" uniqueCount="657">
  <si>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</si>
  <si>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</si>
  <si>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</si>
  <si>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</si>
  <si>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</si>
  <si>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</si>
  <si>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</si>
  <si>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</si>
  <si>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</si>
  <si>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</si>
  <si>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</si>
  <si>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</si>
  <si>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</si>
  <si>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</si>
  <si>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</si>
  <si>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</si>
  <si>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</si>
  <si>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</si>
  <si>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</si>
  <si>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</si>
  <si>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</si>
  <si>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</si>
  <si>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</si>
  <si>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</si>
  <si>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</si>
  <si>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</si>
  <si>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</si>
  <si>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</si>
  <si>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</si>
  <si>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</si>
  <si>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</si>
  <si>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</si>
  <si>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</si>
  <si>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</si>
  <si>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</si>
  <si>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</si>
  <si>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</si>
  <si>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</si>
  <si>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</si>
  <si>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</si>
  <si>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</si>
  <si>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</si>
  <si>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</si>
  <si>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</si>
  <si>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</si>
  <si>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</si>
  <si>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</si>
  <si>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</si>
  <si>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</si>
  <si>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</si>
  <si>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</si>
  <si>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</si>
  <si>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</si>
  <si>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</si>
  <si>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</si>
  <si>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</si>
  <si>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</si>
  <si>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</si>
  <si>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</si>
  <si>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</si>
  <si>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</si>
  <si>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</si>
  <si>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</si>
  <si>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</si>
  <si>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</si>
  <si>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</si>
  <si>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</si>
  <si>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</si>
  <si>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</si>
  <si>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</si>
  <si>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</si>
  <si>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</si>
  <si>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</si>
  <si>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</si>
  <si>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</si>
  <si>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</si>
  <si>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</si>
  <si>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</si>
  <si>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</si>
  <si>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</si>
  <si>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</si>
  <si>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</si>
  <si>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</si>
  <si>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</si>
  <si>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</si>
  <si>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</si>
  <si>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</si>
  <si>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</si>
  <si>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</si>
  <si>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</si>
  <si>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</si>
  <si>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</si>
  <si>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</si>
  <si>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</si>
  <si>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</si>
  <si>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</si>
  <si>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</si>
  <si>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</si>
  <si>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</si>
  <si>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</si>
  <si>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</si>
  <si>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</si>
  <si>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</si>
  <si>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</si>
  <si>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</si>
  <si>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</si>
  <si>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</si>
  <si>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</si>
  <si>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</si>
  <si>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</si>
  <si>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</si>
  <si>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</si>
  <si>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</si>
  <si>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</si>
  <si>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</si>
  <si>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</si>
  <si>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</si>
  <si>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</si>
  <si>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</si>
  <si>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</si>
  <si>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</si>
  <si>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</si>
  <si>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</si>
  <si>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</si>
  <si>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</si>
  <si>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</si>
  <si>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</si>
  <si>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</si>
  <si>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</si>
  <si>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</si>
  <si>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</si>
  <si>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</si>
  <si>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</si>
  <si>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</si>
  <si>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</si>
  <si>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</si>
  <si>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</si>
  <si>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</si>
  <si>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</si>
  <si>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</si>
  <si>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</si>
  <si>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</si>
  <si>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</si>
  <si>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</si>
  <si>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</si>
  <si>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</si>
  <si>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</si>
  <si>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</si>
  <si>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</si>
  <si>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</si>
  <si>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</si>
  <si>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</si>
  <si>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</si>
  <si>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</si>
  <si>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</si>
  <si>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</si>
  <si>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</si>
  <si>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</si>
  <si>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</si>
  <si>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</si>
  <si>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</si>
  <si>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</si>
  <si>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</si>
  <si>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</si>
  <si>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</si>
  <si>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</si>
  <si>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</si>
  <si>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</si>
  <si>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</si>
  <si>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</si>
  <si>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</si>
  <si>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</si>
  <si>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</si>
  <si>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</si>
  <si>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</si>
  <si>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</si>
  <si>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</si>
  <si>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</si>
  <si>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</si>
  <si>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</si>
  <si>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</si>
  <si>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</si>
  <si>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</si>
  <si>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</si>
  <si>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</si>
  <si>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</si>
  <si>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</si>
  <si>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</si>
  <si>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</si>
  <si>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</si>
  <si>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</si>
  <si>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</si>
  <si>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</si>
  <si>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</si>
  <si>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</si>
  <si>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</si>
  <si>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</si>
  <si>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</si>
  <si>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</si>
  <si>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</si>
  <si>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</si>
  <si>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</si>
  <si>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</si>
  <si>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</si>
  <si>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</si>
  <si>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</si>
  <si>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</si>
  <si>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</si>
  <si>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</si>
  <si>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</si>
  <si>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</si>
  <si>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</si>
  <si>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</si>
  <si>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</si>
  <si>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</si>
  <si>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</si>
  <si>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</si>
  <si>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</si>
  <si>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</si>
  <si>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</si>
  <si>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</si>
  <si>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</si>
  <si>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</si>
  <si>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</si>
  <si>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</si>
  <si>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</si>
  <si>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</si>
  <si>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</si>
  <si>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</si>
  <si>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</si>
  <si>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</si>
  <si>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</si>
  <si>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</si>
  <si>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</si>
  <si>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</si>
  <si>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</si>
  <si>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</si>
  <si>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</si>
  <si>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</si>
  <si>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</si>
  <si>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</si>
  <si>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</si>
  <si>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</si>
  <si>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</si>
  <si>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</si>
  <si>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</si>
  <si>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</si>
  <si>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</si>
  <si>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</si>
  <si>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</si>
  <si>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</si>
  <si>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</si>
  <si>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</si>
  <si>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</si>
  <si>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</si>
  <si>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</si>
  <si>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</si>
  <si>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</si>
  <si>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</si>
  <si>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</si>
  <si>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</si>
  <si>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</si>
  <si>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</si>
  <si>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</si>
  <si>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</si>
  <si>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</si>
  <si>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</si>
  <si>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</si>
  <si>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</si>
  <si>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</si>
  <si>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</si>
  <si>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</si>
  <si>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</si>
  <si>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</si>
  <si>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</si>
  <si>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</si>
  <si>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</si>
  <si>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</si>
  <si>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</si>
  <si>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</si>
  <si>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</si>
  <si>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</si>
  <si>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</si>
  <si>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</si>
  <si>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</si>
  <si>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</si>
  <si>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</si>
  <si>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</si>
  <si>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</si>
  <si>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</si>
  <si>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</si>
  <si>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</si>
  <si>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</si>
  <si>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</si>
  <si>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</si>
  <si>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</si>
  <si>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</si>
  <si>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</si>
  <si>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</si>
  <si>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</si>
  <si>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</si>
  <si>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</si>
  <si>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</si>
  <si>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</si>
  <si>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</si>
  <si>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</si>
  <si>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</si>
  <si>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</si>
  <si>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</si>
  <si>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</si>
  <si>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</si>
  <si>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</si>
  <si>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</si>
  <si>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</si>
  <si>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</si>
  <si>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</si>
  <si>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</si>
  <si>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</si>
  <si>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</si>
  <si>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</si>
  <si>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</si>
  <si>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</si>
  <si>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</si>
  <si>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</si>
  <si>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</si>
  <si>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</si>
  <si>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</si>
  <si>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</si>
  <si>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</si>
  <si>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</si>
  <si>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</si>
  <si>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</si>
  <si>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</si>
  <si>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</si>
  <si>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</si>
  <si>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</si>
  <si>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</si>
  <si>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</si>
  <si>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</si>
  <si>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</si>
  <si>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</si>
  <si>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</si>
  <si>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</si>
  <si>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</si>
  <si>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</si>
  <si>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</si>
  <si>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</si>
  <si>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</si>
  <si>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</si>
  <si>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</si>
  <si>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</si>
  <si>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</si>
  <si>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</si>
  <si>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</si>
  <si>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</si>
  <si>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</si>
  <si>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</si>
  <si>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</si>
  <si>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</si>
  <si>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</si>
  <si>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</si>
  <si>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</si>
  <si>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</si>
  <si>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</si>
  <si>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</si>
  <si>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</si>
  <si>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</si>
  <si>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</si>
  <si>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</si>
  <si>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</si>
  <si>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</si>
  <si>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</si>
  <si>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</si>
  <si>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</si>
  <si>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</si>
  <si>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</si>
  <si>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</si>
  <si>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</si>
  <si>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</si>
  <si>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</si>
  <si>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</si>
  <si>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</si>
  <si>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</si>
  <si>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</si>
  <si>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</si>
  <si>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</si>
  <si>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</si>
  <si>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</si>
  <si>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</si>
  <si>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</si>
  <si>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</si>
  <si>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</si>
  <si>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</si>
  <si>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</si>
  <si>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</si>
  <si>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</si>
  <si>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</si>
  <si>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</si>
  <si>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</si>
  <si>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</si>
  <si>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</si>
  <si>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</si>
  <si>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</si>
  <si>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</si>
  <si>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</si>
  <si>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</si>
  <si>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</si>
  <si>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</si>
  <si>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</si>
  <si>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</si>
  <si>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</si>
  <si>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</si>
  <si>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</si>
  <si>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</si>
  <si>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</si>
  <si>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</si>
  <si>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</si>
  <si>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</si>
  <si>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</si>
  <si>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</si>
  <si>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</si>
  <si>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</si>
  <si>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</si>
  <si>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</si>
  <si>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</si>
  <si>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</si>
  <si>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</si>
  <si>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</si>
  <si>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</si>
  <si>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</si>
  <si>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</si>
  <si>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</si>
  <si>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</si>
  <si>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</si>
  <si>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</si>
  <si>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</si>
  <si>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</si>
  <si>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</si>
  <si>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</si>
  <si>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</si>
  <si>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</si>
  <si>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</si>
  <si>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</si>
  <si>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</si>
  <si>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</si>
  <si>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</si>
  <si>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</si>
  <si>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</si>
  <si>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</si>
  <si>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</si>
  <si>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</si>
  <si>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</si>
  <si>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</si>
  <si>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</si>
  <si>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</si>
  <si>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</si>
  <si>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</si>
  <si>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</si>
  <si>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</si>
  <si>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</si>
  <si>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</si>
  <si>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</si>
  <si>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</si>
  <si>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</si>
  <si>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</si>
  <si>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</si>
  <si>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</si>
  <si>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</si>
  <si>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</si>
  <si>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</si>
  <si>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</si>
  <si>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</si>
  <si>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</si>
  <si>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</si>
  <si>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</si>
  <si>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</si>
  <si>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</si>
  <si>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</si>
  <si>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</si>
  <si>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</si>
  <si>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</si>
  <si>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</si>
  <si>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</si>
  <si>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</si>
  <si>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</si>
  <si>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</si>
  <si>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</si>
  <si>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</si>
  <si>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</si>
  <si>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</si>
  <si>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</si>
  <si>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</si>
  <si>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</si>
  <si>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</si>
  <si>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</si>
  <si>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</si>
  <si>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</si>
  <si>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</si>
  <si>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</si>
  <si>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</si>
  <si>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</si>
  <si>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</si>
  <si>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</si>
  <si>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</si>
  <si>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</si>
  <si>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</si>
  <si>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</si>
  <si>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</si>
  <si>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</si>
  <si>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</si>
  <si>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</si>
  <si>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</si>
  <si>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</si>
  <si>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</si>
  <si>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</si>
  <si>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</si>
  <si>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</si>
  <si>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</si>
  <si>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</si>
  <si>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</si>
  <si>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</si>
  <si>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</si>
  <si>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</si>
  <si>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</si>
  <si>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</si>
  <si>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</si>
  <si>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</si>
  <si>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</si>
  <si>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</si>
  <si>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</si>
  <si>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</si>
  <si>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</si>
  <si>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</si>
  <si>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</si>
  <si>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</si>
  <si>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</si>
  <si>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</si>
  <si>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</si>
  <si>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</si>
  <si>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</si>
  <si>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</si>
  <si>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</si>
  <si>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</si>
  <si>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</si>
  <si>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</si>
  <si>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</si>
  <si>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</si>
  <si>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</si>
  <si>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</si>
  <si>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</si>
  <si>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</si>
  <si>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</si>
  <si>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</si>
  <si>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</si>
  <si>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</si>
  <si>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</si>
  <si>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</si>
  <si>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</si>
  <si>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</si>
  <si>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</si>
  <si>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</si>
  <si>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</si>
  <si>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</si>
  <si>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</si>
  <si>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</si>
  <si>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</si>
  <si>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</si>
  <si>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</si>
  <si>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</si>
  <si>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</si>
  <si>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</si>
  <si>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</si>
  <si>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</si>
  <si>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</si>
  <si>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</si>
  <si>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</si>
  <si>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</si>
  <si>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</si>
  <si>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</si>
  <si>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</si>
  <si>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</si>
  <si>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</si>
  <si>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</si>
  <si>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</si>
  <si>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</si>
  <si>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</si>
  <si>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</si>
  <si>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</si>
  <si>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</si>
  <si>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</si>
  <si>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</si>
  <si>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</si>
  <si>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</si>
  <si>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</si>
  <si>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</si>
  <si>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</si>
  <si>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</si>
  <si>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</si>
  <si>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</si>
  <si>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</si>
  <si>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</si>
  <si>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</si>
  <si>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</si>
  <si>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</si>
  <si>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</si>
  <si>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</si>
  <si>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</si>
  <si>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</si>
  <si>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</si>
  <si>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</si>
  <si>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</si>
  <si>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</si>
  <si>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</si>
  <si>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</si>
  <si>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</si>
  <si>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</si>
  <si>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</si>
  <si>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</si>
  <si>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</si>
  <si>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</si>
  <si>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</si>
  <si>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</si>
  <si>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</si>
  <si>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</si>
  <si>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</si>
  <si>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</si>
  <si>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</si>
  <si>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</si>
  <si>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</si>
  <si>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</si>
  <si>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</si>
  <si>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</si>
  <si>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</si>
  <si>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</si>
  <si>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</si>
  <si>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</si>
  <si>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</si>
  <si>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</si>
  <si>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</si>
  <si>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</si>
  <si>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</si>
  <si>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</si>
  <si>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</si>
  <si>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</si>
  <si>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</si>
  <si>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</si>
  <si>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</si>
  <si>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</si>
  <si>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</si>
  <si>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</si>
  <si>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</si>
  <si>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</si>
  <si>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PROYECTO: “OPTIMIZACION MEDIANTE COBERTURA DE LA LOSA DEPORTIVA MULTIUSO DE LA INSTITUCION ADUCATIVA  PRIMARIA N° 54394  "SEÑOR DE LOS MILAGROS"  DISTRITO - CURPAHUASI, PROVINCIA - GRAU, DEPARTAMENTO –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</si>
  <si>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CURPAHUASI</t>
    </r>
  </si>
  <si>
    <t>OPTIMIZACION MEDIANTE COBERTURA DE LA LOSA DEPORTIVA MULTIUSO DE LA INSTITUCION ADUCATIVA  PRIMARIA N° 54394  "SEÑOR DE LOS MILAGROS"  DISTRITO - CURPAHUASI, PROVINCIA - GRAU, DEPARTAMENTO – APURIMAC</t>
  </si>
  <si>
    <t>EDUCACIOJN PRIMARIA</t>
  </si>
  <si>
    <t>:EDUCACIOJN PRIMARIA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</si>
</sst>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topLeftCell="B1" zoomScale="98" zoomScaleNormal="100" zoomScaleSheetLayoutView="98" workbookViewId="0">
      <selection activeCell="F9" sqref="F9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258206.06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258260.06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258260.06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0.24399999999999999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321277.84333333332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0.2440090168543031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321277.84333333332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7.7700000000000005E-2</v>
      </c>
      <c r="F21" s="367"/>
      <c r="G21" s="418">
        <f>Supervision!G158</f>
        <v>24961.5</v>
      </c>
      <c r="H21" s="362"/>
      <c r="I21" s="363"/>
      <c r="J21" s="435">
        <f>G21/G19</f>
        <v>7.7694433394530277E-2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346239.34833333333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2.888175491357715E-2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4.4662919088885186E-2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4.9938720377193407E-2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388994.15833333333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OCHENTA Y OCHO MIL NOVECIENTOS NOVENTA Y CUATRO CON 16/100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G19" sqref="G19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437" t="s">
        <v>655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6" max="6" man="1"/>
    <brk id="146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3.8">
      <c r="A10" s="70"/>
      <c r="B10" s="29"/>
      <c r="C10" s="502"/>
      <c r="D10" s="502"/>
      <c r="E10" s="502"/>
      <c r="F10" s="502"/>
      <c r="G10" s="502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2" t="s">
        <v>42</v>
      </c>
      <c r="B23" s="483"/>
      <c r="C23" s="483"/>
      <c r="D23" s="483"/>
      <c r="E23" s="483"/>
      <c r="F23" s="483"/>
      <c r="G23" s="483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06" zoomScale="85" zoomScaleNormal="70" zoomScaleSheetLayoutView="85" workbookViewId="0">
      <selection activeCell="F33" sqref="F33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655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18" customHeight="1">
      <c r="B11" s="29"/>
      <c r="C11" s="502"/>
      <c r="D11" s="502"/>
      <c r="E11" s="502"/>
      <c r="F11" s="502"/>
      <c r="G11" s="502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A94" zoomScale="82" zoomScaleNormal="100" zoomScaleSheetLayoutView="82" workbookViewId="0">
      <selection activeCell="F30" sqref="F30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656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4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388994.15833333333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2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F52" sqref="F52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437" t="s">
        <v>656</v>
      </c>
    </row>
    <row r="10" spans="1:7" ht="18" customHeight="1">
      <c r="B10" s="29" t="s">
        <v>111</v>
      </c>
      <c r="C10" s="502" t="s">
        <v>654</v>
      </c>
      <c r="D10" s="502"/>
      <c r="E10" s="502"/>
      <c r="F10" s="502"/>
      <c r="G10" s="502"/>
    </row>
    <row r="11" spans="1:7" ht="22.8" customHeight="1">
      <c r="B11" s="29"/>
      <c r="C11" s="502"/>
      <c r="D11" s="502"/>
      <c r="E11" s="502"/>
      <c r="F11" s="502"/>
      <c r="G11" s="502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388994.15833333333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2020-05-20T17:16:01Z</cp:lastPrinted>
  <dcterms:created xsi:type="dcterms:W3CDTF">2003-01-21T17:07:22Z</dcterms:created>
  <dcterms:modified xsi:type="dcterms:W3CDTF">2020-07-13T20:29:00Z</dcterms:modified>
</cp:coreProperties>
</file>