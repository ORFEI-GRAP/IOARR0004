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IOARR0004-CURPAHUASI\7.0 DESAGREGADO DE GASTOS\"/>
    </mc:Choice>
  </mc:AlternateContent>
  <bookViews>
    <workbookView xWindow="0" yWindow="0" windowWidth="28800" windowHeight="12345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25" l="1"/>
  <c r="D445" i="13" l="1"/>
  <c r="B31" i="25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 s="1"/>
  <c r="E96" i="16"/>
  <c r="E76" i="16"/>
  <c r="D81" i="11"/>
  <c r="D100" i="11"/>
  <c r="E84" i="16"/>
  <c r="E95" i="16"/>
  <c r="E72" i="12"/>
  <c r="F43" i="16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67" i="22"/>
  <c r="F67" i="22" s="1"/>
  <c r="E97" i="22"/>
  <c r="F55" i="22"/>
  <c r="E108" i="22"/>
  <c r="E88" i="21"/>
  <c r="E66" i="22"/>
  <c r="F54" i="22"/>
  <c r="E76" i="22"/>
  <c r="E96" i="22"/>
  <c r="E107" i="22"/>
  <c r="D92" i="11"/>
  <c r="F37" i="11"/>
  <c r="D108" i="11"/>
  <c r="D73" i="11"/>
  <c r="D134" i="11"/>
  <c r="D116" i="11"/>
  <c r="F45" i="11"/>
  <c r="D65" i="11"/>
  <c r="D77" i="21" l="1"/>
  <c r="D88" i="21" s="1"/>
  <c r="F88" i="21" s="1"/>
  <c r="F90" i="21" s="1"/>
  <c r="G81" i="21" s="1"/>
  <c r="F68" i="21"/>
  <c r="F70" i="21" s="1"/>
  <c r="F96" i="22"/>
  <c r="F97" i="22"/>
  <c r="F44" i="16"/>
  <c r="G35" i="16" s="1"/>
  <c r="F151" i="16"/>
  <c r="G143" i="16" s="1"/>
  <c r="F76" i="22"/>
  <c r="G154" i="27"/>
  <c r="G26" i="25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F79" i="21" s="1"/>
  <c r="G61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G26" i="21" l="1"/>
  <c r="G14" i="21" s="1"/>
  <c r="G18" i="21" s="1"/>
  <c r="G200" i="21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7" i="25" l="1"/>
  <c r="I16" i="10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1" i="25" s="1"/>
  <c r="G19" i="11"/>
  <c r="D21" i="10"/>
  <c r="D22" i="10" s="1"/>
  <c r="G16" i="10"/>
  <c r="G16" i="25" l="1"/>
  <c r="G17" i="25" s="1"/>
  <c r="G19" i="25" s="1"/>
  <c r="G23" i="25" s="1"/>
  <c r="K19" i="11"/>
  <c r="K22" i="11" s="1"/>
  <c r="K25" i="11" s="1"/>
  <c r="G204" i="11"/>
  <c r="K16" i="10"/>
  <c r="E25" i="25" l="1"/>
  <c r="E26" i="25"/>
  <c r="E27" i="25"/>
  <c r="G29" i="25"/>
  <c r="J18" i="25"/>
  <c r="E16" i="25" s="1"/>
  <c r="J21" i="25"/>
  <c r="E21" i="25" s="1"/>
  <c r="G19" i="10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<sst xmlns="http://schemas.openxmlformats.org/spreadsheetml/2006/main" count="2153" uniqueCount="657">
  <si>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</si>
  <si>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</si>
  <si>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</si>
  <si>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</si>
  <si>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</si>
  <si>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</si>
  <si>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</si>
  <si>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</si>
  <si>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</si>
  <si>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</si>
  <si>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</si>
  <si>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</si>
  <si>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</si>
  <si>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</si>
  <si>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</si>
  <si>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</si>
  <si>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</si>
  <si>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</si>
  <si>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</si>
  <si>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</si>
  <si>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</si>
  <si>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</si>
  <si>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</si>
  <si>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</si>
  <si>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</si>
  <si>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</si>
  <si>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</si>
  <si>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</si>
  <si>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</si>
  <si>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</si>
  <si>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</si>
  <si>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</si>
  <si>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</si>
  <si>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</si>
  <si>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</si>
  <si>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</si>
  <si>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</si>
  <si>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</si>
  <si>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</si>
  <si>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</si>
  <si>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</si>
  <si>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</si>
  <si>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</si>
  <si>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</si>
  <si>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</si>
  <si>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</si>
  <si>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</si>
  <si>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</si>
  <si>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</si>
  <si>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</si>
  <si>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</si>
  <si>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</si>
  <si>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</si>
  <si>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</si>
  <si>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</si>
  <si>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</si>
  <si>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</si>
  <si>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</si>
  <si>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</si>
  <si>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</si>
  <si>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</si>
  <si>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</si>
  <si>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</si>
  <si>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</si>
  <si>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</si>
  <si>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</si>
  <si>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</si>
  <si>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</si>
  <si>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</si>
  <si>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</si>
  <si>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</si>
  <si>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</si>
  <si>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</si>
  <si>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</si>
  <si>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</si>
  <si>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</si>
  <si>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</si>
  <si>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</si>
  <si>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</si>
  <si>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</si>
  <si>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</si>
  <si>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</si>
  <si>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</si>
  <si>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</si>
  <si>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</si>
  <si>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</si>
  <si>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</si>
  <si>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</si>
  <si>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</si>
  <si>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</si>
  <si>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</si>
  <si>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</si>
  <si>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</si>
  <si>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</si>
  <si>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</si>
  <si>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</si>
  <si>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</si>
  <si>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</si>
  <si>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</si>
  <si>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</si>
  <si>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</si>
  <si>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</si>
  <si>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</si>
  <si>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</si>
  <si>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</si>
  <si>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</si>
  <si>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</si>
  <si>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</si>
  <si>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</si>
  <si>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</si>
  <si>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</si>
  <si>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</si>
  <si>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</si>
  <si>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</si>
  <si>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</si>
  <si>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</si>
  <si>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</si>
  <si>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</si>
  <si>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</si>
  <si>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</si>
  <si>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</si>
  <si>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</si>
  <si>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</si>
  <si>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</si>
  <si>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</si>
  <si>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</si>
  <si>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</si>
  <si>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</si>
  <si>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</si>
  <si>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</si>
  <si>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</si>
  <si>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</si>
  <si>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</si>
  <si>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</si>
  <si>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</si>
  <si>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</si>
  <si>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</si>
  <si>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</si>
  <si>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</si>
  <si>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</si>
  <si>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</si>
  <si>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</si>
  <si>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</si>
  <si>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</si>
  <si>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</si>
  <si>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</si>
  <si>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</si>
  <si>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</si>
  <si>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</si>
  <si>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</si>
  <si>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</si>
  <si>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</si>
  <si>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</si>
  <si>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</si>
  <si>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</si>
  <si>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</si>
  <si>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</si>
  <si>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</si>
  <si>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</si>
  <si>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</si>
  <si>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</si>
  <si>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</si>
  <si>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</si>
  <si>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</si>
  <si>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</si>
  <si>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</si>
  <si>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</si>
  <si>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</si>
  <si>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</si>
  <si>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</si>
  <si>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</si>
  <si>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</si>
  <si>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</si>
  <si>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</si>
  <si>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</si>
  <si>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</si>
  <si>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</si>
  <si>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</si>
  <si>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</si>
  <si>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</si>
  <si>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</si>
  <si>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</si>
  <si>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</si>
  <si>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</si>
  <si>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</si>
  <si>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</si>
  <si>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</si>
  <si>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</si>
  <si>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</si>
  <si>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</si>
  <si>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</si>
  <si>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</si>
  <si>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</si>
  <si>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</si>
  <si>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</si>
  <si>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</si>
  <si>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</si>
  <si>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</si>
  <si>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</si>
  <si>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</si>
  <si>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</si>
  <si>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</si>
  <si>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</si>
  <si>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</si>
  <si>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</si>
  <si>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</si>
  <si>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</si>
  <si>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</si>
  <si>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</si>
  <si>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</si>
  <si>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</si>
  <si>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</si>
  <si>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</si>
  <si>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</si>
  <si>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</si>
  <si>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</si>
  <si>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</si>
  <si>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</si>
  <si>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</si>
  <si>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</si>
  <si>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</si>
  <si>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</si>
  <si>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</si>
  <si>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</si>
  <si>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</si>
  <si>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</si>
  <si>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</si>
  <si>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</si>
  <si>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</si>
  <si>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</si>
  <si>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</si>
  <si>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</si>
  <si>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</si>
  <si>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</si>
  <si>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</si>
  <si>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</si>
  <si>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</si>
  <si>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</si>
  <si>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</si>
  <si>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</si>
  <si>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</si>
  <si>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</si>
  <si>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</si>
  <si>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</si>
  <si>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</si>
  <si>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</si>
  <si>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</si>
  <si>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</si>
  <si>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</si>
  <si>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</si>
  <si>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</si>
  <si>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</si>
  <si>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</si>
  <si>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</si>
  <si>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</si>
  <si>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</si>
  <si>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</si>
  <si>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</si>
  <si>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</si>
  <si>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</si>
  <si>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</si>
  <si>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</si>
  <si>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</si>
  <si>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</si>
  <si>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</si>
  <si>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</si>
  <si>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</si>
  <si>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</si>
  <si>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</si>
  <si>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</si>
  <si>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</si>
  <si>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</si>
  <si>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</si>
  <si>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</si>
  <si>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</si>
  <si>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</si>
  <si>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</si>
  <si>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</si>
  <si>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</si>
  <si>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</si>
  <si>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</si>
  <si>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</si>
  <si>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</si>
  <si>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</si>
  <si>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</si>
  <si>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</si>
  <si>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</si>
  <si>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</si>
  <si>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</si>
  <si>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</si>
  <si>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</si>
  <si>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</si>
  <si>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</si>
  <si>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</si>
  <si>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</si>
  <si>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</si>
  <si>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</si>
  <si>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</si>
  <si>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</si>
  <si>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</si>
  <si>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</si>
  <si>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</si>
  <si>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</si>
  <si>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</si>
  <si>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</si>
  <si>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</si>
  <si>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</si>
  <si>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</si>
  <si>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</si>
  <si>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</si>
  <si>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</si>
  <si>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</si>
  <si>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</si>
  <si>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</si>
  <si>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</si>
  <si>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</si>
  <si>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</si>
  <si>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</si>
  <si>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</si>
  <si>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</si>
  <si>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</si>
  <si>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</si>
  <si>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</si>
  <si>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</si>
  <si>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</si>
  <si>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</si>
  <si>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</si>
  <si>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</si>
  <si>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</si>
  <si>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</si>
  <si>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</si>
  <si>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</si>
  <si>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</si>
  <si>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</si>
  <si>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</si>
  <si>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</si>
  <si>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</si>
  <si>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</si>
  <si>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</si>
  <si>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</si>
  <si>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</si>
  <si>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</si>
  <si>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</si>
  <si>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</si>
  <si>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</si>
  <si>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</si>
  <si>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</si>
  <si>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</si>
  <si>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</si>
  <si>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</si>
  <si>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</si>
  <si>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</si>
  <si>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</si>
  <si>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</si>
  <si>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</si>
  <si>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</si>
  <si>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</si>
  <si>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</si>
  <si>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</si>
  <si>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</si>
  <si>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</si>
  <si>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</si>
  <si>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</si>
  <si>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</si>
  <si>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</si>
  <si>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</si>
  <si>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</si>
  <si>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</si>
  <si>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</si>
  <si>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</si>
  <si>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</si>
  <si>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</si>
  <si>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</si>
  <si>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</si>
  <si>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</si>
  <si>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</si>
  <si>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</si>
  <si>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</si>
  <si>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</si>
  <si>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</si>
  <si>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</si>
  <si>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</si>
  <si>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</si>
  <si>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</si>
  <si>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</si>
  <si>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</si>
  <si>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</si>
  <si>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</si>
  <si>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</si>
  <si>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</si>
  <si>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</si>
  <si>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</si>
  <si>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</si>
  <si>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</si>
  <si>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</si>
  <si>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</si>
  <si>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</si>
  <si>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</si>
  <si>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</si>
  <si>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</si>
  <si>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</si>
  <si>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</si>
  <si>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</si>
  <si>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</si>
  <si>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</si>
  <si>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</si>
  <si>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</si>
  <si>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</si>
  <si>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</si>
  <si>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</si>
  <si>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</si>
  <si>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</si>
  <si>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</si>
  <si>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</si>
  <si>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</si>
  <si>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</si>
  <si>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</si>
  <si>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</si>
  <si>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</si>
  <si>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</si>
  <si>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</si>
  <si>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</si>
  <si>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</si>
  <si>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</si>
  <si>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</si>
  <si>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</si>
  <si>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</si>
  <si>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</si>
  <si>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</si>
  <si>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</si>
  <si>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</si>
  <si>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</si>
  <si>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</si>
  <si>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</si>
  <si>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</si>
  <si>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</si>
  <si>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</si>
  <si>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</si>
  <si>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</si>
  <si>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</si>
  <si>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</si>
  <si>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</si>
  <si>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</si>
  <si>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</si>
  <si>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</si>
  <si>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</si>
  <si>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</si>
  <si>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</si>
  <si>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</si>
  <si>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</si>
  <si>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</si>
  <si>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</si>
  <si>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</si>
  <si>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</si>
  <si>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</si>
  <si>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</si>
  <si>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</si>
  <si>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</si>
  <si>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</si>
  <si>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</si>
  <si>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</si>
  <si>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</si>
  <si>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</si>
  <si>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</si>
  <si>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</si>
  <si>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</si>
  <si>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</si>
  <si>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</si>
  <si>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</si>
  <si>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</si>
  <si>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</si>
  <si>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</si>
  <si>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</si>
  <si>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</si>
  <si>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</si>
  <si>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</si>
  <si>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</si>
  <si>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</si>
  <si>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</si>
  <si>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</si>
  <si>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</si>
  <si>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</si>
  <si>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</si>
  <si>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</si>
  <si>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</si>
  <si>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</si>
  <si>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</si>
  <si>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</si>
  <si>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</si>
  <si>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</si>
  <si>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</si>
  <si>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</si>
  <si>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</si>
  <si>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</si>
  <si>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</si>
  <si>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</si>
  <si>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</si>
  <si>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</si>
  <si>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</si>
  <si>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</si>
  <si>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</si>
  <si>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</si>
  <si>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</si>
  <si>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</si>
  <si>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</si>
  <si>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</si>
  <si>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</si>
  <si>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</si>
  <si>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</si>
  <si>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</si>
  <si>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</si>
  <si>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</si>
  <si>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</si>
  <si>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</si>
  <si>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</si>
  <si>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</si>
  <si>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</si>
  <si>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</si>
  <si>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</si>
  <si>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</si>
  <si>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</si>
  <si>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</si>
  <si>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</si>
  <si>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</si>
  <si>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</si>
  <si>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</si>
  <si>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</si>
  <si>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</si>
  <si>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</si>
  <si>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</si>
  <si>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</si>
  <si>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</si>
  <si>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</si>
  <si>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</si>
  <si>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</si>
  <si>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</si>
  <si>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</si>
  <si>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</si>
  <si>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</si>
  <si>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</si>
  <si>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</si>
  <si>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</si>
  <si>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</si>
  <si>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</si>
  <si>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</si>
  <si>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</si>
  <si>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</si>
  <si>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</si>
  <si>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</si>
  <si>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</si>
  <si>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</si>
  <si>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</si>
  <si>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</si>
  <si>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</si>
  <si>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</si>
  <si>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</si>
  <si>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</si>
  <si>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</si>
  <si>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</si>
  <si>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</si>
  <si>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</si>
  <si>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</si>
  <si>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</si>
  <si>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</si>
  <si>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</si>
  <si>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</si>
  <si>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</si>
  <si>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</si>
  <si>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</si>
  <si>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</si>
  <si>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</si>
  <si>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</si>
  <si>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</si>
  <si>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</si>
  <si>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</si>
  <si>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</si>
  <si>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</si>
  <si>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</si>
  <si>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</si>
  <si>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</si>
  <si>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</si>
  <si>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</si>
  <si>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</si>
  <si>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</si>
  <si>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</si>
  <si>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</si>
  <si>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</si>
  <si>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</si>
  <si>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</si>
  <si>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</si>
  <si>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</si>
  <si>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</si>
  <si>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</si>
  <si>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</si>
  <si>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</si>
  <si>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</si>
  <si>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</si>
  <si>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</si>
  <si>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</si>
  <si>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</si>
  <si>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</si>
  <si>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</si>
  <si>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</si>
  <si>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</si>
  <si>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</si>
  <si>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</si>
  <si>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</si>
  <si>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</si>
  <si>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</si>
  <si>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</si>
  <si>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</si>
  <si>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</si>
  <si>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</si>
  <si>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</si>
  <si>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</si>
  <si>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</si>
  <si>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</si>
  <si>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</si>
  <si>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</si>
  <si>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</si>
  <si>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</si>
  <si>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</si>
  <si>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</si>
  <si>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</si>
  <si>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</si>
  <si>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</si>
  <si>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</si>
  <si>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</si>
  <si>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</si>
  <si>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</si>
  <si>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</si>
  <si>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</si>
  <si>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</si>
  <si>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</si>
  <si>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</si>
  <si>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</si>
  <si>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</si>
  <si>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</si>
  <si>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</si>
  <si>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</si>
  <si>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</si>
  <si>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</si>
  <si>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</si>
  <si>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</si>
  <si>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</si>
  <si>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</si>
  <si>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</si>
  <si>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</si>
  <si>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</si>
  <si>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</si>
  <si>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</si>
  <si>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</si>
  <si>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CURPAHUASI</t>
    </r>
  </si>
  <si>
    <t>OPTIMIZACION MEDIANTE COBERTURA DE LA LOSA DEPORTIVA MULTIUSO DE LA INSTITUCION ADUCATIVA  PRIMARIA N° 54394  "SEÑOR DE LOS MILAGROS"  DISTRITO - CURPAHUASI, PROVINCIA - GRAU, DEPARTAMENTO – APURIMAC</t>
  </si>
  <si>
    <t>EDUCACIOJN PRIMARIA</t>
  </si>
  <si>
    <t>:EDUCACIOJN PRIMARIA</t>
  </si>
  <si>
    <t>PROYECTO: “OPTIMIZACION MEDIANTE COBERTURA DE LA LOSA DEPORTIVA MULTIUSO DE LA INSTITUCION EDUCATIVA  PRIMARIA N° 54394  "SEÑOR DE LOS MILAGROS"  DISTRITO - CURPAHUASI, PROVINCIA - GRAU, DEPARTAMENTO –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</si>
</sst>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topLeftCell="B1" zoomScale="98" zoomScaleNormal="100" zoomScaleSheetLayoutView="98" workbookViewId="0">
      <selection activeCell="G29" sqref="G29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656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652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258206.06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7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4.2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258260.06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258260.06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0.24399999999999999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321277.84333333332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0.2440090168543031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321277.84333333332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5" thickBot="1">
      <c r="B21" s="366"/>
      <c r="C21" s="367"/>
      <c r="D21" s="399" t="s">
        <v>380</v>
      </c>
      <c r="E21" s="400">
        <f>ROUND(J21,4)</f>
        <v>7.7700000000000005E-2</v>
      </c>
      <c r="F21" s="367"/>
      <c r="G21" s="418">
        <f>Supervision!G158</f>
        <v>24961.5</v>
      </c>
      <c r="H21" s="362"/>
      <c r="I21" s="363"/>
      <c r="J21" s="435">
        <f>G21/G19</f>
        <v>7.7694433394530277E-2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75">
      <c r="B23" s="366"/>
      <c r="C23" s="413"/>
      <c r="D23" s="419" t="s">
        <v>650</v>
      </c>
      <c r="E23" s="419"/>
      <c r="F23" s="420"/>
      <c r="G23" s="421">
        <f>G19+G21+0.005</f>
        <v>346239.34833333333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2.888175491357715E-2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4.4662919088885186E-2</v>
      </c>
      <c r="F26" s="367"/>
      <c r="G26" s="402">
        <f>Gestión!G19</f>
        <v>15464.06</v>
      </c>
      <c r="H26" s="362"/>
      <c r="I26" s="363"/>
      <c r="J26" s="405"/>
    </row>
    <row r="27" spans="2:10" ht="13.5" thickBot="1">
      <c r="B27" s="366"/>
      <c r="C27" s="367"/>
      <c r="D27" s="399" t="s">
        <v>138</v>
      </c>
      <c r="E27" s="400">
        <f>G27/G23</f>
        <v>4.9938720377193407E-2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8">
      <c r="B29" s="366"/>
      <c r="C29" s="413"/>
      <c r="D29" s="419" t="s">
        <v>381</v>
      </c>
      <c r="E29" s="419"/>
      <c r="F29" s="420"/>
      <c r="G29" s="422">
        <f>G25+G27+G26+G23</f>
        <v>388994.15833333333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OCHENTA Y OCHO MIL NOVECIENTOS NOVENTA Y CUATRO CON 16/100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3" zoomScale="90" zoomScaleNormal="85" zoomScaleSheetLayoutView="90" zoomScalePageLayoutView="75" workbookViewId="0">
      <selection activeCell="F15" sqref="F15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437" t="s">
        <v>654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fitToHeight="0" orientation="portrait" r:id="rId1"/>
  <headerFooter alignWithMargins="0"/>
  <rowBreaks count="2" manualBreakCount="2">
    <brk id="66" max="6" man="1"/>
    <brk id="146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5">
      <c r="A10" s="70"/>
      <c r="B10" s="29"/>
      <c r="C10" s="499"/>
      <c r="D10" s="499"/>
      <c r="E10" s="499"/>
      <c r="F10" s="499"/>
      <c r="G10" s="499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90" t="s">
        <v>42</v>
      </c>
      <c r="B23" s="491"/>
      <c r="C23" s="491"/>
      <c r="D23" s="491"/>
      <c r="E23" s="491"/>
      <c r="F23" s="491"/>
      <c r="G23" s="491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20" sqref="C20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654</v>
      </c>
    </row>
    <row r="10" spans="1:7" ht="18" customHeight="1">
      <c r="B10" s="29" t="s">
        <v>111</v>
      </c>
      <c r="C10" s="499" t="s">
        <v>653</v>
      </c>
      <c r="D10" s="499"/>
      <c r="E10" s="499"/>
      <c r="F10" s="499"/>
      <c r="G10" s="499"/>
    </row>
    <row r="11" spans="1:7" ht="18" customHeight="1">
      <c r="B11" s="29"/>
      <c r="C11" s="499"/>
      <c r="D11" s="499"/>
      <c r="E11" s="499"/>
      <c r="F11" s="499"/>
      <c r="G11" s="49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zoomScale="82" zoomScaleNormal="100" zoomScaleSheetLayoutView="82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499" t="s">
        <v>653</v>
      </c>
      <c r="D10" s="499"/>
      <c r="E10" s="499"/>
      <c r="F10" s="499"/>
      <c r="G10" s="499"/>
    </row>
    <row r="11" spans="1:7" ht="24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388994.15833333333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2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6" zoomScaleNormal="100" zoomScaleSheetLayoutView="100" workbookViewId="0">
      <selection activeCell="C10" sqref="C10:G11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499" t="s">
        <v>653</v>
      </c>
      <c r="D10" s="499"/>
      <c r="E10" s="499"/>
      <c r="F10" s="499"/>
      <c r="G10" s="499"/>
    </row>
    <row r="11" spans="1:7" ht="22.9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388994.15833333333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Premiun</cp:lastModifiedBy>
  <cp:lastPrinted>2020-05-20T17:16:01Z</cp:lastPrinted>
  <dcterms:created xsi:type="dcterms:W3CDTF">2003-01-21T17:07:22Z</dcterms:created>
  <dcterms:modified xsi:type="dcterms:W3CDTF">2020-07-16T10:58:41Z</dcterms:modified>
</cp:coreProperties>
</file>